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M22" i="1" l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L41" i="1" l="1"/>
  <c r="L42" i="1"/>
  <c r="L43" i="1"/>
  <c r="L44" i="1"/>
  <c r="L45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22" i="1"/>
  <c r="C22" i="1" l="1"/>
  <c r="D22" i="1" s="1"/>
  <c r="C23" i="1"/>
  <c r="D23" i="1"/>
  <c r="C24" i="1"/>
  <c r="D24" i="1"/>
  <c r="C25" i="1"/>
  <c r="D25" i="1"/>
  <c r="C26" i="1"/>
  <c r="D26" i="1" s="1"/>
  <c r="C27" i="1"/>
  <c r="D27" i="1"/>
  <c r="C28" i="1"/>
  <c r="D28" i="1"/>
  <c r="C29" i="1"/>
  <c r="D29" i="1"/>
  <c r="C30" i="1"/>
  <c r="D30" i="1" s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" i="1"/>
  <c r="D2" i="1" s="1"/>
</calcChain>
</file>

<file path=xl/sharedStrings.xml><?xml version="1.0" encoding="utf-8"?>
<sst xmlns="http://schemas.openxmlformats.org/spreadsheetml/2006/main" count="113" uniqueCount="47">
  <si>
    <t>нота</t>
  </si>
  <si>
    <t>частота</t>
  </si>
  <si>
    <t>а</t>
  </si>
  <si>
    <t>f</t>
  </si>
  <si>
    <t>период</t>
  </si>
  <si>
    <t>ля малой</t>
  </si>
  <si>
    <t>ми малой</t>
  </si>
  <si>
    <t>си малой</t>
  </si>
  <si>
    <t>соль# малой</t>
  </si>
  <si>
    <t>до первой</t>
  </si>
  <si>
    <t>Частота, Гц</t>
  </si>
  <si>
    <t>Суб-контp-</t>
  </si>
  <si>
    <t>Контp-</t>
  </si>
  <si>
    <t>Большая</t>
  </si>
  <si>
    <t>Малая</t>
  </si>
  <si>
    <t>1.00</t>
  </si>
  <si>
    <t>2.00</t>
  </si>
  <si>
    <t>3.00</t>
  </si>
  <si>
    <t>4.00</t>
  </si>
  <si>
    <t>5.00</t>
  </si>
  <si>
    <t>Hота</t>
  </si>
  <si>
    <t>октава</t>
  </si>
  <si>
    <t>До</t>
  </si>
  <si>
    <t>C</t>
  </si>
  <si>
    <t>До-диез</t>
  </si>
  <si>
    <t>Ре</t>
  </si>
  <si>
    <t>D</t>
  </si>
  <si>
    <t>Ре-диез</t>
  </si>
  <si>
    <t>Ми</t>
  </si>
  <si>
    <t>E</t>
  </si>
  <si>
    <t>Фа</t>
  </si>
  <si>
    <t>F</t>
  </si>
  <si>
    <t>Фа-диез</t>
  </si>
  <si>
    <t>Соль</t>
  </si>
  <si>
    <t>G</t>
  </si>
  <si>
    <t>Соль-диез</t>
  </si>
  <si>
    <t>Ля</t>
  </si>
  <si>
    <t>A</t>
  </si>
  <si>
    <t>Си-бемоль</t>
  </si>
  <si>
    <t>B</t>
  </si>
  <si>
    <t>Си</t>
  </si>
  <si>
    <t>H</t>
  </si>
  <si>
    <t>малая</t>
  </si>
  <si>
    <t>23,12,2017</t>
  </si>
  <si>
    <t>у</t>
  </si>
  <si>
    <t>первая</t>
  </si>
  <si>
    <t>Для 8 битного счётчика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</si>
</sst>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/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7" xfId="0" applyBorder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3" xfId="0" applyFont="1" applyBorder="1" applyAlignment="1">
      <alignment horizontal="center" vertical="center" textRotation="90"/>
    </xf>
    <xf numFmtId="0" fontId="2" fillId="0" borderId="5" xfId="0" applyFont="1" applyBorder="1" applyAlignment="1">
      <alignment horizontal="center" vertical="center" textRotation="90"/>
    </xf>
    <xf numFmtId="0" fontId="2" fillId="0" borderId="8" xfId="0" applyFont="1" applyBorder="1" applyAlignment="1">
      <alignment horizontal="center" vertical="center" textRotation="90"/>
    </xf>
    <xf numFmtId="0" fontId="3" fillId="0" borderId="3" xfId="0" applyFont="1" applyBorder="1" applyAlignment="1">
      <alignment horizontal="center" vertical="center" textRotation="90"/>
    </xf>
    <xf numFmtId="0" fontId="3" fillId="0" borderId="5" xfId="0" applyFont="1" applyBorder="1" applyAlignment="1">
      <alignment horizontal="center" vertical="center" textRotation="90"/>
    </xf>
    <xf numFmtId="0" fontId="3" fillId="0" borderId="8" xfId="0" applyFont="1" applyBorder="1" applyAlignment="1">
      <alignment horizontal="center" vertical="center" textRotation="90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tabSelected="1" topLeftCell="C22" zoomScale="115" zoomScaleNormal="115" workbookViewId="0">
      <selection activeCell="M22" sqref="M22"/>
    </sheetView>
  </sheetViews>
  <sheetFormatPr defaultRowHeight="15" x14ac:dyDescent="0.25"/>
  <cols>
    <col min="1" max="1" width="10.85546875" customWidth="1"/>
  </cols>
  <sheetData>
    <row r="1" spans="1:18" ht="30" x14ac:dyDescent="0.25">
      <c r="A1" t="s">
        <v>0</v>
      </c>
      <c r="B1" t="s">
        <v>1</v>
      </c>
      <c r="C1" t="s">
        <v>3</v>
      </c>
      <c r="D1" t="s">
        <v>4</v>
      </c>
      <c r="H1" s="1" t="s">
        <v>10</v>
      </c>
      <c r="I1" s="1"/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</row>
    <row r="2" spans="1:18" ht="15.75" thickBot="1" x14ac:dyDescent="0.3">
      <c r="A2" t="s">
        <v>5</v>
      </c>
      <c r="B2">
        <v>220</v>
      </c>
      <c r="C2">
        <f>B2*2</f>
        <v>440</v>
      </c>
      <c r="D2">
        <f>MROUND(8000000/C2,1)</f>
        <v>18182</v>
      </c>
      <c r="H2" s="1" t="s">
        <v>20</v>
      </c>
      <c r="I2" s="1"/>
      <c r="J2" s="1" t="s">
        <v>21</v>
      </c>
      <c r="K2" s="1" t="s">
        <v>21</v>
      </c>
      <c r="L2" s="1" t="s">
        <v>21</v>
      </c>
      <c r="M2" s="1" t="s">
        <v>21</v>
      </c>
      <c r="N2" s="1" t="s">
        <v>21</v>
      </c>
      <c r="O2" s="1" t="s">
        <v>21</v>
      </c>
      <c r="P2" s="1" t="s">
        <v>21</v>
      </c>
      <c r="Q2" s="1" t="s">
        <v>21</v>
      </c>
      <c r="R2" s="1" t="s">
        <v>21</v>
      </c>
    </row>
    <row r="3" spans="1:18" x14ac:dyDescent="0.25">
      <c r="A3" t="s">
        <v>6</v>
      </c>
      <c r="B3">
        <v>164.81</v>
      </c>
      <c r="C3">
        <f t="shared" ref="C3:C30" si="0">B3*2</f>
        <v>329.62</v>
      </c>
      <c r="D3">
        <f t="shared" ref="D3:D30" si="1">MROUND(8000000/C3,1)</f>
        <v>24270</v>
      </c>
      <c r="H3" s="4" t="s">
        <v>22</v>
      </c>
      <c r="I3" s="2" t="s">
        <v>23</v>
      </c>
      <c r="J3" s="2"/>
      <c r="K3" s="2">
        <v>32.700000000000003</v>
      </c>
      <c r="L3" s="2">
        <v>65.41</v>
      </c>
      <c r="M3" s="2">
        <v>130.82</v>
      </c>
      <c r="N3" s="2">
        <v>261.63</v>
      </c>
      <c r="O3" s="2">
        <v>523.25</v>
      </c>
      <c r="P3" s="2">
        <v>1046.5</v>
      </c>
      <c r="Q3" s="2">
        <v>2093</v>
      </c>
      <c r="R3" s="2">
        <v>4186</v>
      </c>
    </row>
    <row r="4" spans="1:18" x14ac:dyDescent="0.25">
      <c r="A4" t="s">
        <v>8</v>
      </c>
      <c r="B4">
        <v>207</v>
      </c>
      <c r="C4">
        <f t="shared" si="0"/>
        <v>414</v>
      </c>
      <c r="D4">
        <f t="shared" si="1"/>
        <v>19324</v>
      </c>
      <c r="H4" s="7" t="s">
        <v>24</v>
      </c>
      <c r="I4" s="2" t="s">
        <v>23</v>
      </c>
      <c r="J4" s="2"/>
      <c r="K4" s="2">
        <v>34.65</v>
      </c>
      <c r="L4" s="2">
        <v>69.3</v>
      </c>
      <c r="M4" s="2">
        <v>138.59</v>
      </c>
      <c r="N4" s="2">
        <v>277.18</v>
      </c>
      <c r="O4" s="2">
        <v>554.36</v>
      </c>
      <c r="P4" s="2">
        <v>1108.7</v>
      </c>
      <c r="Q4" s="2">
        <v>2217.4</v>
      </c>
      <c r="R4" s="2">
        <v>4434.8</v>
      </c>
    </row>
    <row r="5" spans="1:18" x14ac:dyDescent="0.25">
      <c r="A5" t="s">
        <v>7</v>
      </c>
      <c r="B5">
        <v>246.96</v>
      </c>
      <c r="C5">
        <f t="shared" si="0"/>
        <v>493.92</v>
      </c>
      <c r="D5">
        <f t="shared" si="1"/>
        <v>16197</v>
      </c>
      <c r="H5" s="7" t="s">
        <v>25</v>
      </c>
      <c r="I5" s="2" t="s">
        <v>26</v>
      </c>
      <c r="J5" s="2"/>
      <c r="K5" s="2">
        <v>36.950000000000003</v>
      </c>
      <c r="L5" s="2">
        <v>73.91</v>
      </c>
      <c r="M5" s="2">
        <v>147.83000000000001</v>
      </c>
      <c r="N5" s="2">
        <v>293.66000000000003</v>
      </c>
      <c r="O5" s="2">
        <v>587.32000000000005</v>
      </c>
      <c r="P5" s="2">
        <v>1174.5999999999999</v>
      </c>
      <c r="Q5" s="2">
        <v>2349.1999999999998</v>
      </c>
      <c r="R5" s="2">
        <v>4698.3999999999996</v>
      </c>
    </row>
    <row r="6" spans="1:18" ht="15.75" thickBot="1" x14ac:dyDescent="0.3">
      <c r="A6" t="s">
        <v>9</v>
      </c>
      <c r="B6">
        <v>261.63</v>
      </c>
      <c r="C6">
        <f t="shared" si="0"/>
        <v>523.26</v>
      </c>
      <c r="D6">
        <f t="shared" si="1"/>
        <v>15289</v>
      </c>
      <c r="H6" s="7" t="s">
        <v>27</v>
      </c>
      <c r="I6" s="2" t="s">
        <v>26</v>
      </c>
      <c r="J6" s="2"/>
      <c r="K6" s="2">
        <v>38.880000000000003</v>
      </c>
      <c r="L6" s="2">
        <v>77.78</v>
      </c>
      <c r="M6" s="2">
        <v>155.56</v>
      </c>
      <c r="N6" s="2">
        <v>311.13</v>
      </c>
      <c r="O6" s="2">
        <v>622.26</v>
      </c>
      <c r="P6" s="2">
        <v>1244.5</v>
      </c>
      <c r="Q6" s="2">
        <v>2489</v>
      </c>
      <c r="R6" s="2">
        <v>4978</v>
      </c>
    </row>
    <row r="7" spans="1:18" x14ac:dyDescent="0.25">
      <c r="A7" s="4" t="s">
        <v>22</v>
      </c>
      <c r="B7" s="5">
        <v>130.82</v>
      </c>
      <c r="C7" s="6">
        <f t="shared" ref="C7:C19" si="2">B7*2</f>
        <v>261.64</v>
      </c>
      <c r="D7" s="6">
        <f t="shared" si="1"/>
        <v>30576</v>
      </c>
      <c r="E7" s="15" t="s">
        <v>42</v>
      </c>
      <c r="H7" s="7" t="s">
        <v>28</v>
      </c>
      <c r="I7" s="2" t="s">
        <v>29</v>
      </c>
      <c r="J7" s="2">
        <v>20.61</v>
      </c>
      <c r="K7" s="2">
        <v>41.21</v>
      </c>
      <c r="L7" s="2">
        <v>82.41</v>
      </c>
      <c r="M7" s="2">
        <v>164.81</v>
      </c>
      <c r="N7" s="2">
        <v>329.63</v>
      </c>
      <c r="O7" s="2">
        <v>659.26</v>
      </c>
      <c r="P7" s="2">
        <v>1318.5</v>
      </c>
      <c r="Q7" s="2">
        <v>2637</v>
      </c>
      <c r="R7" s="2">
        <v>5274</v>
      </c>
    </row>
    <row r="8" spans="1:18" x14ac:dyDescent="0.25">
      <c r="A8" s="7" t="s">
        <v>24</v>
      </c>
      <c r="B8" s="8">
        <v>138.59</v>
      </c>
      <c r="C8" s="9">
        <f t="shared" si="2"/>
        <v>277.18</v>
      </c>
      <c r="D8" s="9">
        <f t="shared" si="1"/>
        <v>28862</v>
      </c>
      <c r="E8" s="16"/>
      <c r="H8" s="7" t="s">
        <v>30</v>
      </c>
      <c r="I8" s="2" t="s">
        <v>31</v>
      </c>
      <c r="J8" s="2">
        <v>21.82</v>
      </c>
      <c r="K8" s="2">
        <v>43.65</v>
      </c>
      <c r="L8" s="2">
        <v>87.31</v>
      </c>
      <c r="M8" s="2">
        <v>174.62</v>
      </c>
      <c r="N8" s="2">
        <v>349.23</v>
      </c>
      <c r="O8" s="2">
        <v>698.46</v>
      </c>
      <c r="P8" s="2">
        <v>1396.9</v>
      </c>
      <c r="Q8" s="2">
        <v>2793.8</v>
      </c>
      <c r="R8" s="2"/>
    </row>
    <row r="9" spans="1:18" ht="30" x14ac:dyDescent="0.25">
      <c r="A9" s="7" t="s">
        <v>25</v>
      </c>
      <c r="B9" s="8">
        <v>147.83000000000001</v>
      </c>
      <c r="C9" s="9">
        <f t="shared" si="2"/>
        <v>295.66000000000003</v>
      </c>
      <c r="D9" s="9">
        <f t="shared" si="1"/>
        <v>27058</v>
      </c>
      <c r="E9" s="16"/>
      <c r="H9" s="7" t="s">
        <v>32</v>
      </c>
      <c r="I9" s="2" t="s">
        <v>31</v>
      </c>
      <c r="J9" s="3" t="s">
        <v>43</v>
      </c>
      <c r="K9" s="2">
        <v>46.25</v>
      </c>
      <c r="L9" s="2">
        <v>92.5</v>
      </c>
      <c r="M9" s="2">
        <v>185</v>
      </c>
      <c r="N9" s="2">
        <v>369.99</v>
      </c>
      <c r="O9" s="2">
        <v>739.98</v>
      </c>
      <c r="P9" s="2">
        <v>1480</v>
      </c>
      <c r="Q9" s="2">
        <v>2960</v>
      </c>
      <c r="R9" s="2"/>
    </row>
    <row r="10" spans="1:18" x14ac:dyDescent="0.25">
      <c r="A10" s="7" t="s">
        <v>27</v>
      </c>
      <c r="B10" s="8">
        <v>155.56</v>
      </c>
      <c r="C10" s="9">
        <f t="shared" si="2"/>
        <v>311.12</v>
      </c>
      <c r="D10" s="9">
        <f t="shared" si="1"/>
        <v>25714</v>
      </c>
      <c r="E10" s="16"/>
      <c r="F10" s="14" t="s">
        <v>44</v>
      </c>
      <c r="H10" s="7" t="s">
        <v>33</v>
      </c>
      <c r="I10" s="2" t="s">
        <v>34</v>
      </c>
      <c r="J10" s="2">
        <v>24.5</v>
      </c>
      <c r="K10" s="2">
        <v>49</v>
      </c>
      <c r="L10" s="2">
        <v>98</v>
      </c>
      <c r="M10" s="2">
        <v>196</v>
      </c>
      <c r="N10" s="2">
        <v>392</v>
      </c>
      <c r="O10" s="2">
        <v>784</v>
      </c>
      <c r="P10" s="2">
        <v>1568</v>
      </c>
      <c r="Q10" s="2">
        <v>3136</v>
      </c>
      <c r="R10" s="2"/>
    </row>
    <row r="11" spans="1:18" ht="30" x14ac:dyDescent="0.25">
      <c r="A11" s="7" t="s">
        <v>28</v>
      </c>
      <c r="B11" s="8">
        <v>164.81</v>
      </c>
      <c r="C11" s="9">
        <f t="shared" si="2"/>
        <v>329.62</v>
      </c>
      <c r="D11" s="9">
        <f t="shared" si="1"/>
        <v>24270</v>
      </c>
      <c r="E11" s="16"/>
      <c r="F11" s="13"/>
      <c r="H11" s="7" t="s">
        <v>35</v>
      </c>
      <c r="I11" s="2" t="s">
        <v>34</v>
      </c>
      <c r="J11" s="2">
        <v>25.95</v>
      </c>
      <c r="K11" s="2">
        <v>51.9</v>
      </c>
      <c r="L11" s="2">
        <v>103.8</v>
      </c>
      <c r="M11" s="2">
        <v>207</v>
      </c>
      <c r="N11" s="2">
        <v>415.3</v>
      </c>
      <c r="O11" s="2">
        <v>830.6</v>
      </c>
      <c r="P11" s="2">
        <v>1661.2</v>
      </c>
      <c r="Q11" s="2">
        <v>3332.4</v>
      </c>
      <c r="R11" s="2"/>
    </row>
    <row r="12" spans="1:18" x14ac:dyDescent="0.25">
      <c r="A12" s="7" t="s">
        <v>30</v>
      </c>
      <c r="B12" s="8">
        <v>174.62</v>
      </c>
      <c r="C12" s="9">
        <f t="shared" si="2"/>
        <v>349.24</v>
      </c>
      <c r="D12" s="9">
        <f t="shared" si="1"/>
        <v>22907</v>
      </c>
      <c r="E12" s="16"/>
      <c r="F12" s="13"/>
      <c r="H12" s="7" t="s">
        <v>36</v>
      </c>
      <c r="I12" s="2" t="s">
        <v>37</v>
      </c>
      <c r="J12" s="2">
        <v>27.5</v>
      </c>
      <c r="K12" s="2">
        <v>55</v>
      </c>
      <c r="L12" s="2">
        <v>110</v>
      </c>
      <c r="M12" s="2">
        <v>220</v>
      </c>
      <c r="N12" s="2">
        <v>440</v>
      </c>
      <c r="O12" s="2">
        <v>880</v>
      </c>
      <c r="P12" s="2">
        <v>1720</v>
      </c>
      <c r="Q12" s="2">
        <v>3440</v>
      </c>
      <c r="R12" s="2"/>
    </row>
    <row r="13" spans="1:18" ht="30" x14ac:dyDescent="0.25">
      <c r="A13" s="7" t="s">
        <v>32</v>
      </c>
      <c r="B13" s="8">
        <v>185</v>
      </c>
      <c r="C13" s="9">
        <f t="shared" si="2"/>
        <v>370</v>
      </c>
      <c r="D13" s="9">
        <f t="shared" si="1"/>
        <v>21622</v>
      </c>
      <c r="E13" s="16"/>
      <c r="F13" s="14">
        <v>4</v>
      </c>
      <c r="H13" s="7" t="s">
        <v>38</v>
      </c>
      <c r="I13" s="2" t="s">
        <v>39</v>
      </c>
      <c r="J13" s="2">
        <v>29.13</v>
      </c>
      <c r="K13" s="2">
        <v>58.26</v>
      </c>
      <c r="L13" s="2">
        <v>116.54</v>
      </c>
      <c r="M13" s="2">
        <v>233.08</v>
      </c>
      <c r="N13" s="2">
        <v>466.16</v>
      </c>
      <c r="O13" s="2">
        <v>932.32</v>
      </c>
      <c r="P13" s="2">
        <v>1864.6</v>
      </c>
      <c r="Q13" s="2">
        <v>3729.2</v>
      </c>
      <c r="R13" s="2"/>
    </row>
    <row r="14" spans="1:18" ht="15.75" thickBot="1" x14ac:dyDescent="0.3">
      <c r="A14" s="7" t="s">
        <v>33</v>
      </c>
      <c r="B14" s="8">
        <v>196</v>
      </c>
      <c r="C14" s="9">
        <f t="shared" si="2"/>
        <v>392</v>
      </c>
      <c r="D14" s="9">
        <f t="shared" si="1"/>
        <v>20408</v>
      </c>
      <c r="E14" s="16"/>
      <c r="F14" s="14" t="s">
        <v>44</v>
      </c>
      <c r="H14" s="10" t="s">
        <v>40</v>
      </c>
      <c r="I14" s="2" t="s">
        <v>41</v>
      </c>
      <c r="J14" s="2">
        <v>30.87</v>
      </c>
      <c r="K14" s="2">
        <v>61.74</v>
      </c>
      <c r="L14" s="2">
        <v>123.48</v>
      </c>
      <c r="M14" s="2">
        <v>246.96</v>
      </c>
      <c r="N14" s="2">
        <v>493.88</v>
      </c>
      <c r="O14" s="2">
        <v>987.75</v>
      </c>
      <c r="P14" s="2">
        <v>1975.5</v>
      </c>
      <c r="Q14" s="2">
        <v>3951</v>
      </c>
      <c r="R14" s="2"/>
    </row>
    <row r="15" spans="1:18" x14ac:dyDescent="0.25">
      <c r="A15" s="7" t="s">
        <v>35</v>
      </c>
      <c r="B15" s="8">
        <v>207</v>
      </c>
      <c r="C15" s="9">
        <f t="shared" si="2"/>
        <v>414</v>
      </c>
      <c r="D15" s="9">
        <f t="shared" si="1"/>
        <v>19324</v>
      </c>
      <c r="E15" s="16"/>
      <c r="F15" s="14">
        <v>4</v>
      </c>
    </row>
    <row r="16" spans="1:18" x14ac:dyDescent="0.25">
      <c r="A16" s="7" t="s">
        <v>36</v>
      </c>
      <c r="B16" s="8">
        <v>220</v>
      </c>
      <c r="C16" s="9">
        <f t="shared" si="2"/>
        <v>440</v>
      </c>
      <c r="D16" s="9">
        <f t="shared" si="1"/>
        <v>18182</v>
      </c>
      <c r="E16" s="16"/>
      <c r="F16" s="13"/>
    </row>
    <row r="17" spans="1:13" ht="30" x14ac:dyDescent="0.25">
      <c r="A17" s="7" t="s">
        <v>38</v>
      </c>
      <c r="B17" s="8">
        <v>233.08</v>
      </c>
      <c r="C17" s="9">
        <f t="shared" si="2"/>
        <v>466.16</v>
      </c>
      <c r="D17" s="9">
        <f t="shared" si="1"/>
        <v>17161</v>
      </c>
      <c r="E17" s="16"/>
      <c r="F17" s="14">
        <v>4</v>
      </c>
    </row>
    <row r="18" spans="1:13" ht="15.75" thickBot="1" x14ac:dyDescent="0.3">
      <c r="A18" s="10" t="s">
        <v>40</v>
      </c>
      <c r="B18" s="11">
        <v>246.96</v>
      </c>
      <c r="C18" s="12">
        <f t="shared" si="2"/>
        <v>493.92</v>
      </c>
      <c r="D18" s="12">
        <f t="shared" si="1"/>
        <v>16197</v>
      </c>
      <c r="E18" s="17"/>
      <c r="F18" s="14" t="s">
        <v>2</v>
      </c>
    </row>
    <row r="19" spans="1:13" x14ac:dyDescent="0.25">
      <c r="A19" s="4" t="s">
        <v>22</v>
      </c>
      <c r="B19" s="2">
        <v>261.63</v>
      </c>
      <c r="C19" s="6">
        <f t="shared" si="2"/>
        <v>523.26</v>
      </c>
      <c r="D19" s="6">
        <f t="shared" si="1"/>
        <v>15289</v>
      </c>
      <c r="E19" s="18" t="s">
        <v>45</v>
      </c>
      <c r="F19" s="13"/>
    </row>
    <row r="20" spans="1:13" x14ac:dyDescent="0.25">
      <c r="A20" s="7" t="s">
        <v>24</v>
      </c>
      <c r="B20" s="2">
        <v>277.18</v>
      </c>
      <c r="C20" s="9">
        <f t="shared" si="0"/>
        <v>554.36</v>
      </c>
      <c r="D20" s="9">
        <f t="shared" si="1"/>
        <v>14431</v>
      </c>
      <c r="E20" s="19"/>
      <c r="F20" s="14" t="s">
        <v>2</v>
      </c>
      <c r="J20" s="21" t="s">
        <v>46</v>
      </c>
      <c r="K20" s="21"/>
      <c r="L20" s="21"/>
      <c r="M20" s="21"/>
    </row>
    <row r="21" spans="1:13" ht="15.75" thickBot="1" x14ac:dyDescent="0.3">
      <c r="A21" s="7" t="s">
        <v>25</v>
      </c>
      <c r="B21" s="2">
        <v>293.66000000000003</v>
      </c>
      <c r="C21" s="9">
        <f t="shared" si="0"/>
        <v>587.32000000000005</v>
      </c>
      <c r="D21" s="9">
        <f t="shared" si="1"/>
        <v>13621</v>
      </c>
      <c r="E21" s="19"/>
      <c r="F21" s="14">
        <v>4</v>
      </c>
      <c r="J21" t="s">
        <v>0</v>
      </c>
      <c r="K21" t="s">
        <v>1</v>
      </c>
      <c r="L21">
        <v>1024</v>
      </c>
      <c r="M21">
        <v>256</v>
      </c>
    </row>
    <row r="22" spans="1:13" x14ac:dyDescent="0.25">
      <c r="A22" s="7" t="s">
        <v>27</v>
      </c>
      <c r="B22" s="2">
        <v>311.13</v>
      </c>
      <c r="C22" s="9">
        <f t="shared" si="0"/>
        <v>622.26</v>
      </c>
      <c r="D22" s="9">
        <f t="shared" si="1"/>
        <v>12856</v>
      </c>
      <c r="E22" s="19"/>
      <c r="F22" s="14">
        <v>4</v>
      </c>
      <c r="I22" s="22" t="s">
        <v>13</v>
      </c>
      <c r="J22" s="4" t="s">
        <v>22</v>
      </c>
      <c r="K22" s="2">
        <v>65.41</v>
      </c>
      <c r="L22">
        <f>MROUND((8000000/(2*1024*K22))-1,1)</f>
        <v>59</v>
      </c>
      <c r="M22">
        <f>MROUND((8000000/(2*256*K22))-1,1)</f>
        <v>238</v>
      </c>
    </row>
    <row r="23" spans="1:13" x14ac:dyDescent="0.25">
      <c r="A23" s="7" t="s">
        <v>28</v>
      </c>
      <c r="B23" s="2">
        <v>329.63</v>
      </c>
      <c r="C23" s="9">
        <f t="shared" si="0"/>
        <v>659.26</v>
      </c>
      <c r="D23" s="9">
        <f t="shared" si="1"/>
        <v>12135</v>
      </c>
      <c r="E23" s="19"/>
      <c r="F23" s="13">
        <v>4</v>
      </c>
      <c r="I23" s="22"/>
      <c r="J23" s="7" t="s">
        <v>24</v>
      </c>
      <c r="K23" s="2">
        <v>69.3</v>
      </c>
      <c r="L23">
        <f t="shared" ref="L23:L45" si="3">MROUND((8000000/(2*1024*K23))-1,1)</f>
        <v>55</v>
      </c>
      <c r="M23">
        <f t="shared" ref="M23:M45" si="4">MROUND((8000000/(2*256*K23))-1,1)</f>
        <v>224</v>
      </c>
    </row>
    <row r="24" spans="1:13" x14ac:dyDescent="0.25">
      <c r="A24" s="7" t="s">
        <v>30</v>
      </c>
      <c r="B24" s="2">
        <v>349.23</v>
      </c>
      <c r="C24" s="9">
        <f t="shared" si="0"/>
        <v>698.46</v>
      </c>
      <c r="D24" s="9">
        <f t="shared" si="1"/>
        <v>11454</v>
      </c>
      <c r="E24" s="19"/>
      <c r="F24" s="13">
        <v>4</v>
      </c>
      <c r="I24" s="22"/>
      <c r="J24" s="7" t="s">
        <v>25</v>
      </c>
      <c r="K24" s="2">
        <v>73.91</v>
      </c>
      <c r="L24">
        <f t="shared" si="3"/>
        <v>52</v>
      </c>
      <c r="M24">
        <f t="shared" si="4"/>
        <v>210</v>
      </c>
    </row>
    <row r="25" spans="1:13" x14ac:dyDescent="0.25">
      <c r="A25" s="7" t="s">
        <v>32</v>
      </c>
      <c r="B25" s="2">
        <v>369.99</v>
      </c>
      <c r="C25" s="9">
        <f t="shared" si="0"/>
        <v>739.98</v>
      </c>
      <c r="D25" s="9">
        <f t="shared" si="1"/>
        <v>10811</v>
      </c>
      <c r="E25" s="19"/>
      <c r="F25" s="13">
        <v>4</v>
      </c>
      <c r="I25" s="22"/>
      <c r="J25" s="7" t="s">
        <v>27</v>
      </c>
      <c r="K25" s="2">
        <v>77.78</v>
      </c>
      <c r="L25">
        <f t="shared" si="3"/>
        <v>49</v>
      </c>
      <c r="M25">
        <f t="shared" si="4"/>
        <v>200</v>
      </c>
    </row>
    <row r="26" spans="1:13" x14ac:dyDescent="0.25">
      <c r="A26" s="7" t="s">
        <v>33</v>
      </c>
      <c r="B26" s="2">
        <v>392</v>
      </c>
      <c r="C26" s="9">
        <f t="shared" si="0"/>
        <v>784</v>
      </c>
      <c r="D26" s="9">
        <f t="shared" si="1"/>
        <v>10204</v>
      </c>
      <c r="E26" s="19"/>
      <c r="F26" s="13">
        <v>4</v>
      </c>
      <c r="I26" s="22"/>
      <c r="J26" s="7" t="s">
        <v>28</v>
      </c>
      <c r="K26" s="2">
        <v>82.41</v>
      </c>
      <c r="L26">
        <f t="shared" si="3"/>
        <v>46</v>
      </c>
      <c r="M26">
        <f t="shared" si="4"/>
        <v>189</v>
      </c>
    </row>
    <row r="27" spans="1:13" x14ac:dyDescent="0.25">
      <c r="A27" s="7" t="s">
        <v>35</v>
      </c>
      <c r="B27" s="2">
        <v>415.3</v>
      </c>
      <c r="C27" s="9">
        <f t="shared" si="0"/>
        <v>830.6</v>
      </c>
      <c r="D27" s="9">
        <f t="shared" si="1"/>
        <v>9632</v>
      </c>
      <c r="E27" s="19"/>
      <c r="I27" s="22"/>
      <c r="J27" s="7" t="s">
        <v>30</v>
      </c>
      <c r="K27" s="2">
        <v>87.31</v>
      </c>
      <c r="L27">
        <f t="shared" si="3"/>
        <v>44</v>
      </c>
      <c r="M27">
        <f t="shared" si="4"/>
        <v>178</v>
      </c>
    </row>
    <row r="28" spans="1:13" x14ac:dyDescent="0.25">
      <c r="A28" s="7" t="s">
        <v>36</v>
      </c>
      <c r="B28" s="2">
        <v>440</v>
      </c>
      <c r="C28" s="9">
        <f t="shared" si="0"/>
        <v>880</v>
      </c>
      <c r="D28" s="9">
        <f t="shared" si="1"/>
        <v>9091</v>
      </c>
      <c r="E28" s="19"/>
      <c r="I28" s="22"/>
      <c r="J28" s="7" t="s">
        <v>32</v>
      </c>
      <c r="K28" s="2">
        <v>92.5</v>
      </c>
      <c r="L28">
        <f t="shared" si="3"/>
        <v>41</v>
      </c>
      <c r="M28">
        <f t="shared" si="4"/>
        <v>168</v>
      </c>
    </row>
    <row r="29" spans="1:13" ht="30" x14ac:dyDescent="0.25">
      <c r="A29" s="7" t="s">
        <v>38</v>
      </c>
      <c r="B29" s="2">
        <v>466.16</v>
      </c>
      <c r="C29" s="9">
        <f t="shared" si="0"/>
        <v>932.32</v>
      </c>
      <c r="D29" s="9">
        <f t="shared" si="1"/>
        <v>8581</v>
      </c>
      <c r="E29" s="19"/>
      <c r="I29" s="22"/>
      <c r="J29" s="7" t="s">
        <v>33</v>
      </c>
      <c r="K29" s="2">
        <v>98</v>
      </c>
      <c r="L29">
        <f t="shared" si="3"/>
        <v>39</v>
      </c>
      <c r="M29">
        <f t="shared" si="4"/>
        <v>158</v>
      </c>
    </row>
    <row r="30" spans="1:13" ht="30.75" thickBot="1" x14ac:dyDescent="0.3">
      <c r="A30" s="10" t="s">
        <v>40</v>
      </c>
      <c r="B30" s="2">
        <v>493.88</v>
      </c>
      <c r="C30" s="9">
        <f t="shared" si="0"/>
        <v>987.76</v>
      </c>
      <c r="D30" s="9">
        <f t="shared" si="1"/>
        <v>8099</v>
      </c>
      <c r="E30" s="20"/>
      <c r="I30" s="22"/>
      <c r="J30" s="7" t="s">
        <v>35</v>
      </c>
      <c r="K30" s="2">
        <v>103.8</v>
      </c>
      <c r="L30">
        <f t="shared" si="3"/>
        <v>37</v>
      </c>
      <c r="M30">
        <f t="shared" si="4"/>
        <v>150</v>
      </c>
    </row>
    <row r="31" spans="1:13" x14ac:dyDescent="0.25">
      <c r="I31" s="22"/>
      <c r="J31" s="7" t="s">
        <v>36</v>
      </c>
      <c r="K31" s="2">
        <v>110</v>
      </c>
      <c r="L31">
        <f t="shared" si="3"/>
        <v>35</v>
      </c>
      <c r="M31">
        <f t="shared" si="4"/>
        <v>141</v>
      </c>
    </row>
    <row r="32" spans="1:13" ht="30" x14ac:dyDescent="0.25">
      <c r="I32" s="22"/>
      <c r="J32" s="7" t="s">
        <v>38</v>
      </c>
      <c r="K32" s="2">
        <v>116.54</v>
      </c>
      <c r="L32">
        <f t="shared" si="3"/>
        <v>33</v>
      </c>
      <c r="M32">
        <f t="shared" si="4"/>
        <v>133</v>
      </c>
    </row>
    <row r="33" spans="9:13" ht="15.75" thickBot="1" x14ac:dyDescent="0.3">
      <c r="I33" s="22"/>
      <c r="J33" s="10" t="s">
        <v>40</v>
      </c>
      <c r="K33" s="2">
        <v>123.48</v>
      </c>
      <c r="L33">
        <f t="shared" si="3"/>
        <v>31</v>
      </c>
      <c r="M33">
        <f t="shared" si="4"/>
        <v>126</v>
      </c>
    </row>
    <row r="34" spans="9:13" x14ac:dyDescent="0.25">
      <c r="I34" s="16" t="s">
        <v>14</v>
      </c>
      <c r="J34" s="4" t="s">
        <v>22</v>
      </c>
      <c r="K34" s="2">
        <v>130.82</v>
      </c>
      <c r="L34">
        <f t="shared" si="3"/>
        <v>29</v>
      </c>
      <c r="M34">
        <f t="shared" si="4"/>
        <v>118</v>
      </c>
    </row>
    <row r="35" spans="9:13" x14ac:dyDescent="0.25">
      <c r="I35" s="16"/>
      <c r="J35" s="7" t="s">
        <v>24</v>
      </c>
      <c r="K35" s="2">
        <v>138.59</v>
      </c>
      <c r="L35">
        <f t="shared" si="3"/>
        <v>27</v>
      </c>
      <c r="M35">
        <f t="shared" si="4"/>
        <v>112</v>
      </c>
    </row>
    <row r="36" spans="9:13" x14ac:dyDescent="0.25">
      <c r="I36" s="16"/>
      <c r="J36" s="7" t="s">
        <v>25</v>
      </c>
      <c r="K36" s="2">
        <v>147.83000000000001</v>
      </c>
      <c r="L36">
        <f t="shared" si="3"/>
        <v>25</v>
      </c>
      <c r="M36">
        <f t="shared" si="4"/>
        <v>105</v>
      </c>
    </row>
    <row r="37" spans="9:13" x14ac:dyDescent="0.25">
      <c r="I37" s="16"/>
      <c r="J37" s="7" t="s">
        <v>27</v>
      </c>
      <c r="K37" s="2">
        <v>155.56</v>
      </c>
      <c r="L37">
        <f t="shared" si="3"/>
        <v>24</v>
      </c>
      <c r="M37">
        <f t="shared" si="4"/>
        <v>99</v>
      </c>
    </row>
    <row r="38" spans="9:13" x14ac:dyDescent="0.25">
      <c r="I38" s="16"/>
      <c r="J38" s="7" t="s">
        <v>28</v>
      </c>
      <c r="K38" s="2">
        <v>164.81</v>
      </c>
      <c r="L38">
        <f t="shared" si="3"/>
        <v>23</v>
      </c>
      <c r="M38">
        <f t="shared" si="4"/>
        <v>94</v>
      </c>
    </row>
    <row r="39" spans="9:13" x14ac:dyDescent="0.25">
      <c r="I39" s="16"/>
      <c r="J39" s="7" t="s">
        <v>30</v>
      </c>
      <c r="K39" s="2">
        <v>174.62</v>
      </c>
      <c r="L39">
        <f t="shared" si="3"/>
        <v>21</v>
      </c>
      <c r="M39">
        <f t="shared" si="4"/>
        <v>88</v>
      </c>
    </row>
    <row r="40" spans="9:13" x14ac:dyDescent="0.25">
      <c r="I40" s="16"/>
      <c r="J40" s="7" t="s">
        <v>32</v>
      </c>
      <c r="K40" s="2">
        <v>185</v>
      </c>
      <c r="L40">
        <f t="shared" si="3"/>
        <v>20</v>
      </c>
      <c r="M40">
        <f t="shared" si="4"/>
        <v>83</v>
      </c>
    </row>
    <row r="41" spans="9:13" x14ac:dyDescent="0.25">
      <c r="I41" s="16"/>
      <c r="J41" s="7" t="s">
        <v>33</v>
      </c>
      <c r="K41" s="2">
        <v>196</v>
      </c>
      <c r="L41">
        <f>MROUND((8000000/(2*1024*K41))-1,1)</f>
        <v>19</v>
      </c>
      <c r="M41">
        <f t="shared" si="4"/>
        <v>79</v>
      </c>
    </row>
    <row r="42" spans="9:13" ht="30" x14ac:dyDescent="0.25">
      <c r="I42" s="16"/>
      <c r="J42" s="7" t="s">
        <v>35</v>
      </c>
      <c r="K42" s="2">
        <v>207</v>
      </c>
      <c r="L42">
        <f t="shared" si="3"/>
        <v>18</v>
      </c>
      <c r="M42">
        <f t="shared" si="4"/>
        <v>74</v>
      </c>
    </row>
    <row r="43" spans="9:13" x14ac:dyDescent="0.25">
      <c r="I43" s="16"/>
      <c r="J43" s="7" t="s">
        <v>36</v>
      </c>
      <c r="K43" s="2">
        <v>220</v>
      </c>
      <c r="L43">
        <f t="shared" si="3"/>
        <v>17</v>
      </c>
      <c r="M43">
        <f t="shared" si="4"/>
        <v>70</v>
      </c>
    </row>
    <row r="44" spans="9:13" ht="30" x14ac:dyDescent="0.25">
      <c r="I44" s="16"/>
      <c r="J44" s="7" t="s">
        <v>38</v>
      </c>
      <c r="K44" s="2">
        <v>233.08</v>
      </c>
      <c r="L44">
        <f t="shared" si="3"/>
        <v>16</v>
      </c>
      <c r="M44">
        <f t="shared" si="4"/>
        <v>66</v>
      </c>
    </row>
    <row r="45" spans="9:13" ht="15.75" thickBot="1" x14ac:dyDescent="0.3">
      <c r="I45" s="16"/>
      <c r="J45" s="10" t="s">
        <v>40</v>
      </c>
      <c r="K45" s="2">
        <v>246.96</v>
      </c>
      <c r="L45">
        <f t="shared" si="3"/>
        <v>15</v>
      </c>
      <c r="M45">
        <f t="shared" si="4"/>
        <v>62</v>
      </c>
    </row>
  </sheetData>
  <mergeCells count="5">
    <mergeCell ref="E7:E18"/>
    <mergeCell ref="E19:E30"/>
    <mergeCell ref="J20:M20"/>
    <mergeCell ref="I22:I33"/>
    <mergeCell ref="I34:I4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2017-04-03T17:18:54Z</dcterms:modified>
</cp:coreProperties>
</file>